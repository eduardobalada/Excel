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ra\OneDrive\Documentos\"/>
    </mc:Choice>
  </mc:AlternateContent>
  <xr:revisionPtr revIDLastSave="0" documentId="8_{6D07F4CD-BC57-4BFC-A155-C825D9C9D96B}" xr6:coauthVersionLast="47" xr6:coauthVersionMax="47" xr10:uidLastSave="{00000000-0000-0000-0000-000000000000}"/>
  <bookViews>
    <workbookView xWindow="-108" yWindow="-108" windowWidth="23256" windowHeight="12456" xr2:uid="{566300E0-4BAC-4540-93C8-95A176F5E4D8}"/>
  </bookViews>
  <sheets>
    <sheet name="Calculadora Inteligente" sheetId="1" r:id="rId1"/>
    <sheet name="FII's" sheetId="2" r:id="rId2"/>
  </sheets>
  <definedNames>
    <definedName name="Aporte">'Calculadora Inteligente'!$D$15</definedName>
    <definedName name="cenário10">'Calculadora Inteligente'!$C$24</definedName>
    <definedName name="cenário2">'Calculadora Inteligente'!$C$22</definedName>
    <definedName name="cenário20">'Calculadora Inteligente'!$C$25</definedName>
    <definedName name="cenário30">'Calculadora Inteligente'!$C$26</definedName>
    <definedName name="cenário5">'Calculadora Inteligente'!$C$23</definedName>
    <definedName name="perfilderisco">'Calculadora Inteligente'!$C$28</definedName>
    <definedName name="Periodo">'Calculadora Inteligente'!$D$16</definedName>
    <definedName name="premissaanos">'Calculadora Inteligente'!$A$18</definedName>
    <definedName name="premissadesugestão">'Calculadora Inteligente'!$A$11</definedName>
    <definedName name="Renda_mensal">'Calculadora Inteligente'!$D$19</definedName>
    <definedName name="Rendimento">'Calculadora Inteligente'!$D$10</definedName>
    <definedName name="Salário">'Calculadora Inteligente'!$D$9</definedName>
    <definedName name="sugestãoaporte">'Calculadora Inteligente'!$D$11</definedName>
    <definedName name="Taxa">'Calculadora Inteligente'!$D$17</definedName>
    <definedName name="VFdoPL">'Calculadora Inteligente'!$D$18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D18" i="1"/>
  <c r="C37" i="1"/>
  <c r="C36" i="1"/>
  <c r="C35" i="1"/>
  <c r="C34" i="1"/>
  <c r="C33" i="1"/>
  <c r="C32" i="1"/>
  <c r="C38" i="1" l="1"/>
  <c r="D11" i="1" l="1"/>
  <c r="C29" i="1" l="1"/>
  <c r="D36" i="1" s="1"/>
  <c r="C25" i="1"/>
  <c r="D25" i="1" s="1"/>
  <c r="C24" i="1"/>
  <c r="D24" i="1" s="1"/>
  <c r="C23" i="1"/>
  <c r="D23" i="1" s="1"/>
  <c r="D19" i="1"/>
  <c r="C26" i="1"/>
  <c r="D26" i="1" s="1"/>
  <c r="C22" i="1"/>
  <c r="D22" i="1" s="1"/>
  <c r="D32" i="1" l="1"/>
  <c r="D33" i="1"/>
  <c r="D35" i="1"/>
  <c r="D34" i="1"/>
  <c r="D37" i="1"/>
  <c r="D38" i="1" l="1"/>
</calcChain>
</file>

<file path=xl/sharedStrings.xml><?xml version="1.0" encoding="utf-8"?>
<sst xmlns="http://schemas.openxmlformats.org/spreadsheetml/2006/main" count="42" uniqueCount="35">
  <si>
    <t xml:space="preserve">Calculadora Inteligente </t>
  </si>
  <si>
    <t>Salário</t>
  </si>
  <si>
    <t>Sugestão de investimento</t>
  </si>
  <si>
    <t>Investimento mensal</t>
  </si>
  <si>
    <t>Rendimendo da carteira</t>
  </si>
  <si>
    <t>CALCULADORA INTELIGENTE</t>
  </si>
  <si>
    <t>PREMISSAS</t>
  </si>
  <si>
    <t>Periodo (Em anos)</t>
  </si>
  <si>
    <t>Patrimônio no Período Final</t>
  </si>
  <si>
    <t>Renda mensal através de dividendos</t>
  </si>
  <si>
    <t>CENÁRIOS</t>
  </si>
  <si>
    <t>DIVIDENDOS</t>
  </si>
  <si>
    <t>PERFIL</t>
  </si>
  <si>
    <t>Investimento Mensal</t>
  </si>
  <si>
    <t>Tipo de FII</t>
  </si>
  <si>
    <t>PAPEL</t>
  </si>
  <si>
    <t>TIJOLO</t>
  </si>
  <si>
    <t>HÍBRIDOS</t>
  </si>
  <si>
    <t>FOFs</t>
  </si>
  <si>
    <t>DESENVOLVIMENTO</t>
  </si>
  <si>
    <t>HOTELARIAS</t>
  </si>
  <si>
    <t>Taxa de rendimento mensal do período</t>
  </si>
  <si>
    <t>Valor a investir</t>
  </si>
  <si>
    <t>Quanto de valor investido em 2 anos</t>
  </si>
  <si>
    <t>Quanto de valor investido em 5 anos</t>
  </si>
  <si>
    <t>Quanto de valor investido em 10 anos</t>
  </si>
  <si>
    <t>Quanto de valor investido em 20 anos</t>
  </si>
  <si>
    <t>Quanto de valor investido em 30 anos</t>
  </si>
  <si>
    <t>Agressivo</t>
  </si>
  <si>
    <t>Moderado</t>
  </si>
  <si>
    <t>Conservador</t>
  </si>
  <si>
    <t>TOTAL</t>
  </si>
  <si>
    <t>TESTE DE SENSIBILIDADE</t>
  </si>
  <si>
    <t>Quantos anos investindo</t>
  </si>
  <si>
    <t>Taxa de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</si>
</sst>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5"/>
      <color theme="3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50">
    <xf numFmtId="0" fontId="0" fillId="0" borderId="0" xfId="0"/>
    <xf numFmtId="9" fontId="0" fillId="0" borderId="0" xfId="0" applyNumberFormat="1"/>
    <xf numFmtId="9" fontId="4" fillId="0" borderId="0" xfId="0" applyNumberFormat="1" applyFont="1"/>
    <xf numFmtId="0" fontId="4" fillId="0" borderId="0" xfId="0" applyFont="1"/>
    <xf numFmtId="0" fontId="2" fillId="2" borderId="0" xfId="2" applyBorder="1"/>
    <xf numFmtId="0" fontId="0" fillId="5" borderId="0" xfId="0" applyFill="1"/>
    <xf numFmtId="8" fontId="0" fillId="5" borderId="0" xfId="0" applyNumberFormat="1" applyFill="1"/>
    <xf numFmtId="0" fontId="0" fillId="0" borderId="7" xfId="0" applyBorder="1"/>
    <xf numFmtId="8" fontId="0" fillId="0" borderId="8" xfId="0" applyNumberFormat="1" applyBorder="1" applyAlignment="1">
      <alignment horizontal="center"/>
    </xf>
    <xf numFmtId="0" fontId="0" fillId="0" borderId="9" xfId="0" applyBorder="1"/>
    <xf numFmtId="8" fontId="0" fillId="0" borderId="8" xfId="0" applyNumberFormat="1" applyBorder="1"/>
    <xf numFmtId="0" fontId="0" fillId="0" borderId="8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9" xfId="0" applyFont="1" applyFill="1" applyBorder="1"/>
    <xf numFmtId="9" fontId="3" fillId="6" borderId="3" xfId="0" applyNumberFormat="1" applyFont="1" applyFill="1" applyBorder="1"/>
    <xf numFmtId="8" fontId="3" fillId="6" borderId="10" xfId="0" applyNumberFormat="1" applyFont="1" applyFill="1" applyBorder="1"/>
    <xf numFmtId="8" fontId="3" fillId="7" borderId="0" xfId="0" applyNumberFormat="1" applyFont="1" applyFill="1" applyBorder="1" applyAlignment="1">
      <alignment horizontal="center"/>
    </xf>
    <xf numFmtId="8" fontId="3" fillId="7" borderId="3" xfId="0" applyNumberFormat="1" applyFont="1" applyFill="1" applyBorder="1" applyAlignment="1">
      <alignment horizontal="center"/>
    </xf>
    <xf numFmtId="9" fontId="0" fillId="7" borderId="0" xfId="0" applyNumberFormat="1" applyFill="1" applyBorder="1"/>
    <xf numFmtId="8" fontId="0" fillId="7" borderId="8" xfId="0" applyNumberFormat="1" applyFill="1" applyBorder="1"/>
    <xf numFmtId="8" fontId="0" fillId="7" borderId="8" xfId="0" applyNumberFormat="1" applyFill="1" applyBorder="1" applyAlignment="1">
      <alignment horizontal="center"/>
    </xf>
    <xf numFmtId="8" fontId="0" fillId="7" borderId="10" xfId="0" applyNumberFormat="1" applyFill="1" applyBorder="1" applyAlignment="1">
      <alignment horizontal="center"/>
    </xf>
    <xf numFmtId="0" fontId="0" fillId="0" borderId="0" xfId="0" applyBorder="1"/>
    <xf numFmtId="8" fontId="4" fillId="0" borderId="0" xfId="0" applyNumberFormat="1" applyFont="1" applyBorder="1"/>
    <xf numFmtId="0" fontId="0" fillId="0" borderId="8" xfId="0" applyBorder="1"/>
    <xf numFmtId="10" fontId="0" fillId="0" borderId="0" xfId="0" applyNumberFormat="1" applyBorder="1"/>
    <xf numFmtId="8" fontId="0" fillId="0" borderId="0" xfId="0" applyNumberFormat="1" applyBorder="1"/>
    <xf numFmtId="10" fontId="0" fillId="0" borderId="3" xfId="0" applyNumberFormat="1" applyBorder="1"/>
    <xf numFmtId="8" fontId="0" fillId="0" borderId="3" xfId="0" applyNumberFormat="1" applyBorder="1"/>
    <xf numFmtId="8" fontId="0" fillId="0" borderId="10" xfId="0" applyNumberFormat="1" applyBorder="1"/>
    <xf numFmtId="0" fontId="6" fillId="4" borderId="11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left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0" fillId="0" borderId="7" xfId="0" applyBorder="1" applyAlignment="1">
      <alignment horizontal="right" vertical="center" textRotation="90"/>
    </xf>
    <xf numFmtId="0" fontId="0" fillId="0" borderId="9" xfId="0" applyBorder="1" applyAlignment="1">
      <alignment horizontal="right" vertical="center" textRotation="90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1" applyFont="1" applyAlignment="1">
      <alignment horizontal="center"/>
    </xf>
    <xf numFmtId="0" fontId="6" fillId="3" borderId="11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</cellXfs>
  <cellStyles count="3">
    <cellStyle name="Entrada" xfId="2" builtinId="20"/>
    <cellStyle name="Normal" xfId="0" builtinId="0"/>
    <cellStyle name="Títu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8B64-EE94-4374-BA1B-0979D59402BA}">
  <dimension ref="A3:J55"/>
  <sheetViews>
    <sheetView showGridLines="0" tabSelected="1" zoomScale="64" workbookViewId="0">
      <selection activeCell="B3" sqref="B3:I5"/>
    </sheetView>
  </sheetViews>
  <sheetFormatPr defaultColWidth="0" defaultRowHeight="14.4" x14ac:dyDescent="0.3"/>
  <cols>
    <col min="1" max="1" width="4.77734375" bestFit="1" customWidth="1"/>
    <col min="2" max="2" width="32.88671875" bestFit="1" customWidth="1"/>
    <col min="3" max="3" width="17" bestFit="1" customWidth="1"/>
    <col min="4" max="4" width="15.88671875" bestFit="1" customWidth="1"/>
    <col min="5" max="5" width="14.88671875" bestFit="1" customWidth="1"/>
    <col min="6" max="7" width="15.88671875" bestFit="1" customWidth="1"/>
    <col min="8" max="8" width="17" bestFit="1" customWidth="1"/>
    <col min="9" max="10" width="8.88671875" customWidth="1"/>
    <col min="11" max="16384" width="8.88671875" hidden="1"/>
  </cols>
  <sheetData>
    <row r="3" spans="1:9" ht="20.399999999999999" customHeight="1" thickBot="1" x14ac:dyDescent="0.35">
      <c r="B3" s="46" t="s">
        <v>0</v>
      </c>
      <c r="C3" s="46"/>
      <c r="D3" s="46"/>
      <c r="E3" s="46"/>
      <c r="F3" s="46"/>
      <c r="G3" s="46"/>
      <c r="H3" s="46"/>
      <c r="I3" s="46"/>
    </row>
    <row r="4" spans="1:9" ht="15.6" thickTop="1" thickBot="1" x14ac:dyDescent="0.35">
      <c r="B4" s="46"/>
      <c r="C4" s="46"/>
      <c r="D4" s="46"/>
      <c r="E4" s="46"/>
      <c r="F4" s="46"/>
      <c r="G4" s="46"/>
      <c r="H4" s="46"/>
      <c r="I4" s="46"/>
    </row>
    <row r="5" spans="1:9" ht="15.6" thickTop="1" thickBot="1" x14ac:dyDescent="0.35">
      <c r="B5" s="46"/>
      <c r="C5" s="46"/>
      <c r="D5" s="46"/>
      <c r="E5" s="46"/>
      <c r="F5" s="46"/>
      <c r="G5" s="46"/>
      <c r="H5" s="46"/>
      <c r="I5" s="46"/>
    </row>
    <row r="6" spans="1:9" ht="15" thickTop="1" x14ac:dyDescent="0.3"/>
    <row r="7" spans="1:9" ht="15" thickBot="1" x14ac:dyDescent="0.35"/>
    <row r="8" spans="1:9" ht="31.8" thickBot="1" x14ac:dyDescent="0.65">
      <c r="B8" s="47" t="s">
        <v>6</v>
      </c>
      <c r="C8" s="48"/>
      <c r="D8" s="49"/>
    </row>
    <row r="9" spans="1:9" x14ac:dyDescent="0.3">
      <c r="B9" s="43" t="s">
        <v>1</v>
      </c>
      <c r="C9" s="41"/>
      <c r="D9" s="8">
        <v>20000</v>
      </c>
    </row>
    <row r="10" spans="1:9" x14ac:dyDescent="0.3">
      <c r="B10" s="43" t="s">
        <v>4</v>
      </c>
      <c r="C10" s="41"/>
      <c r="D10" s="12">
        <v>0.01</v>
      </c>
    </row>
    <row r="11" spans="1:9" ht="15" thickBot="1" x14ac:dyDescent="0.35">
      <c r="A11" s="2">
        <v>0.3</v>
      </c>
      <c r="B11" s="44" t="s">
        <v>2</v>
      </c>
      <c r="C11" s="45"/>
      <c r="D11" s="23">
        <f>Salário*A11</f>
        <v>6000</v>
      </c>
    </row>
    <row r="12" spans="1:9" x14ac:dyDescent="0.3">
      <c r="A12" s="3"/>
    </row>
    <row r="13" spans="1:9" ht="15" thickBot="1" x14ac:dyDescent="0.35">
      <c r="A13" s="3"/>
    </row>
    <row r="14" spans="1:9" ht="31.8" thickBot="1" x14ac:dyDescent="0.65">
      <c r="A14" s="3"/>
      <c r="B14" s="47" t="s">
        <v>5</v>
      </c>
      <c r="C14" s="48"/>
      <c r="D14" s="49"/>
    </row>
    <row r="15" spans="1:9" x14ac:dyDescent="0.3">
      <c r="A15" s="3"/>
      <c r="B15" s="43" t="s">
        <v>3</v>
      </c>
      <c r="C15" s="41"/>
      <c r="D15" s="8">
        <v>50000</v>
      </c>
    </row>
    <row r="16" spans="1:9" x14ac:dyDescent="0.3">
      <c r="A16" s="3"/>
      <c r="B16" s="43" t="s">
        <v>7</v>
      </c>
      <c r="C16" s="41"/>
      <c r="D16" s="11">
        <v>10</v>
      </c>
    </row>
    <row r="17" spans="1:4" x14ac:dyDescent="0.3">
      <c r="A17" s="3"/>
      <c r="B17" s="43" t="s">
        <v>21</v>
      </c>
      <c r="C17" s="41"/>
      <c r="D17" s="12">
        <v>1.2E-2</v>
      </c>
    </row>
    <row r="18" spans="1:4" x14ac:dyDescent="0.3">
      <c r="A18" s="3">
        <v>12</v>
      </c>
      <c r="B18" s="43" t="s">
        <v>8</v>
      </c>
      <c r="C18" s="41"/>
      <c r="D18" s="22">
        <f>FV(Taxa,Periodo*A18,Aporte*-1)</f>
        <v>13269469.772255925</v>
      </c>
    </row>
    <row r="19" spans="1:4" ht="15" thickBot="1" x14ac:dyDescent="0.35">
      <c r="A19" s="3"/>
      <c r="B19" s="44" t="s">
        <v>9</v>
      </c>
      <c r="C19" s="45"/>
      <c r="D19" s="23">
        <f>VFdoPL*Rendimento</f>
        <v>132694.69772255927</v>
      </c>
    </row>
    <row r="20" spans="1:4" ht="15" thickBot="1" x14ac:dyDescent="0.35">
      <c r="A20" s="3"/>
    </row>
    <row r="21" spans="1:4" ht="31.8" thickBot="1" x14ac:dyDescent="0.65">
      <c r="A21" s="3"/>
      <c r="B21" s="32" t="s">
        <v>10</v>
      </c>
      <c r="C21" s="33"/>
      <c r="D21" s="13" t="s">
        <v>11</v>
      </c>
    </row>
    <row r="22" spans="1:4" x14ac:dyDescent="0.3">
      <c r="A22" s="3">
        <v>2</v>
      </c>
      <c r="B22" s="7" t="s">
        <v>23</v>
      </c>
      <c r="C22" s="18">
        <f>FV(Taxa,A22*premissaanos,Aporte*-1)</f>
        <v>1381136.68215613</v>
      </c>
      <c r="D22" s="22">
        <f>cenário2*Rendimento</f>
        <v>13811.3668215613</v>
      </c>
    </row>
    <row r="23" spans="1:4" x14ac:dyDescent="0.3">
      <c r="A23" s="3">
        <v>5</v>
      </c>
      <c r="B23" s="7" t="s">
        <v>24</v>
      </c>
      <c r="C23" s="18">
        <f>FV(Taxa,A23*premissaanos,Aporte*-1)</f>
        <v>4356863.6169371177</v>
      </c>
      <c r="D23" s="22">
        <f>cenário5*Rendimento</f>
        <v>43568.636169371181</v>
      </c>
    </row>
    <row r="24" spans="1:4" x14ac:dyDescent="0.3">
      <c r="A24" s="3">
        <v>10</v>
      </c>
      <c r="B24" s="7" t="s">
        <v>25</v>
      </c>
      <c r="C24" s="18">
        <f>FV(Taxa,A24*premissaanos,Aporte*-1)</f>
        <v>13269469.772255925</v>
      </c>
      <c r="D24" s="22">
        <f>cenário10*Rendimento</f>
        <v>132694.69772255927</v>
      </c>
    </row>
    <row r="25" spans="1:4" x14ac:dyDescent="0.3">
      <c r="A25" s="3">
        <v>20</v>
      </c>
      <c r="B25" s="7" t="s">
        <v>26</v>
      </c>
      <c r="C25" s="18">
        <f>FV(Taxa,A25*premissaanos,Aporte*-1)</f>
        <v>68797858.273347169</v>
      </c>
      <c r="D25" s="22">
        <f>cenário20*Rendimento</f>
        <v>687978.58273347176</v>
      </c>
    </row>
    <row r="26" spans="1:4" ht="15" thickBot="1" x14ac:dyDescent="0.35">
      <c r="A26" s="3">
        <v>30</v>
      </c>
      <c r="B26" s="9" t="s">
        <v>27</v>
      </c>
      <c r="C26" s="19">
        <f>FV(Taxa,A26*premissaanos,Aporte*-1)</f>
        <v>301165992.22659379</v>
      </c>
      <c r="D26" s="23">
        <f>cenário30*Rendimento</f>
        <v>3011659.922265938</v>
      </c>
    </row>
    <row r="28" spans="1:4" x14ac:dyDescent="0.3">
      <c r="B28" s="4" t="s">
        <v>12</v>
      </c>
      <c r="C28" s="4" t="s">
        <v>28</v>
      </c>
    </row>
    <row r="29" spans="1:4" x14ac:dyDescent="0.3">
      <c r="B29" s="5" t="s">
        <v>13</v>
      </c>
      <c r="C29" s="6">
        <f>Aporte</f>
        <v>50000</v>
      </c>
    </row>
    <row r="30" spans="1:4" ht="15" thickBot="1" x14ac:dyDescent="0.35"/>
    <row r="31" spans="1:4" ht="15" thickBot="1" x14ac:dyDescent="0.35">
      <c r="B31" s="34" t="s">
        <v>14</v>
      </c>
      <c r="C31" s="35"/>
      <c r="D31" s="14" t="s">
        <v>22</v>
      </c>
    </row>
    <row r="32" spans="1:4" x14ac:dyDescent="0.3">
      <c r="B32" s="7" t="s">
        <v>15</v>
      </c>
      <c r="C32" s="20">
        <f>INDEX('FII''s'!$B$1:$E$7,MATCH('Calculadora Inteligente'!$B32,'FII''s'!$B$1:$B$7,0),MATCH(perfilderisco,'FII''s'!$B$1:$E$1,0))</f>
        <v>0.5</v>
      </c>
      <c r="D32" s="21">
        <f>C32*$C$29</f>
        <v>25000</v>
      </c>
    </row>
    <row r="33" spans="2:8" x14ac:dyDescent="0.3">
      <c r="B33" s="7" t="s">
        <v>16</v>
      </c>
      <c r="C33" s="20">
        <f>INDEX('FII''s'!$B$1:$E$7,MATCH('Calculadora Inteligente'!$B33,'FII''s'!$B$1:$B$7,0),MATCH(perfilderisco,'FII''s'!$B$1:$E$1,0))</f>
        <v>0.1</v>
      </c>
      <c r="D33" s="21">
        <f t="shared" ref="D33:D37" si="0">C33*$C$29</f>
        <v>5000</v>
      </c>
    </row>
    <row r="34" spans="2:8" x14ac:dyDescent="0.3">
      <c r="B34" s="7" t="s">
        <v>17</v>
      </c>
      <c r="C34" s="20">
        <f>INDEX('FII''s'!$B$1:$E$7,MATCH('Calculadora Inteligente'!$B34,'FII''s'!$B$1:$B$7,0),MATCH(perfilderisco,'FII''s'!$B$1:$E$1,0))</f>
        <v>0.05</v>
      </c>
      <c r="D34" s="21">
        <f t="shared" si="0"/>
        <v>2500</v>
      </c>
    </row>
    <row r="35" spans="2:8" x14ac:dyDescent="0.3">
      <c r="B35" s="7" t="s">
        <v>18</v>
      </c>
      <c r="C35" s="20">
        <f>INDEX('FII''s'!$B$1:$E$7,MATCH('Calculadora Inteligente'!$B35,'FII''s'!$B$1:$B$7,0),MATCH(perfilderisco,'FII''s'!$B$1:$E$1,0))</f>
        <v>0.05</v>
      </c>
      <c r="D35" s="21">
        <f t="shared" si="0"/>
        <v>2500</v>
      </c>
    </row>
    <row r="36" spans="2:8" x14ac:dyDescent="0.3">
      <c r="B36" s="7" t="s">
        <v>19</v>
      </c>
      <c r="C36" s="20">
        <f>INDEX('FII''s'!$B$1:$E$7,MATCH('Calculadora Inteligente'!$B36,'FII''s'!$B$1:$B$7,0),MATCH(perfilderisco,'FII''s'!$B$1:$E$1,0))</f>
        <v>0.2</v>
      </c>
      <c r="D36" s="21">
        <f t="shared" si="0"/>
        <v>10000</v>
      </c>
    </row>
    <row r="37" spans="2:8" x14ac:dyDescent="0.3">
      <c r="B37" s="7" t="s">
        <v>20</v>
      </c>
      <c r="C37" s="20">
        <f>INDEX('FII''s'!$B$1:$E$7,MATCH('Calculadora Inteligente'!$B37,'FII''s'!$B$1:$B$7,0),MATCH(perfilderisco,'FII''s'!$B$1:$E$1,0))</f>
        <v>0.1</v>
      </c>
      <c r="D37" s="21">
        <f t="shared" si="0"/>
        <v>5000</v>
      </c>
    </row>
    <row r="38" spans="2:8" ht="15" thickBot="1" x14ac:dyDescent="0.35">
      <c r="B38" s="15" t="s">
        <v>31</v>
      </c>
      <c r="C38" s="16">
        <f>SUM(C32:C37)</f>
        <v>1.0000000000000002</v>
      </c>
      <c r="D38" s="17">
        <f>SUM(D32:D37)</f>
        <v>50000</v>
      </c>
    </row>
    <row r="40" spans="2:8" ht="15" thickBot="1" x14ac:dyDescent="0.35"/>
    <row r="41" spans="2:8" ht="31.2" x14ac:dyDescent="0.6">
      <c r="B41" s="38" t="s">
        <v>32</v>
      </c>
      <c r="C41" s="39"/>
      <c r="D41" s="39"/>
      <c r="E41" s="39"/>
      <c r="F41" s="39"/>
      <c r="G41" s="39"/>
      <c r="H41" s="40"/>
    </row>
    <row r="42" spans="2:8" x14ac:dyDescent="0.3">
      <c r="B42" s="7"/>
      <c r="C42" s="24"/>
      <c r="D42" s="41" t="s">
        <v>33</v>
      </c>
      <c r="E42" s="41"/>
      <c r="F42" s="41"/>
      <c r="G42" s="41"/>
      <c r="H42" s="42"/>
    </row>
    <row r="43" spans="2:8" x14ac:dyDescent="0.3">
      <c r="B43" s="36" t="s">
        <v>34</v>
      </c>
      <c r="C43" s="25">
        <f>FV(Taxa,Periodo*A18,Aporte*-1)</f>
        <v>13269469.772255925</v>
      </c>
      <c r="D43" s="24">
        <v>2</v>
      </c>
      <c r="E43" s="24">
        <v>5</v>
      </c>
      <c r="F43" s="24">
        <v>10</v>
      </c>
      <c r="G43" s="24">
        <v>20</v>
      </c>
      <c r="H43" s="26">
        <v>30</v>
      </c>
    </row>
    <row r="44" spans="2:8" x14ac:dyDescent="0.3">
      <c r="B44" s="36"/>
      <c r="C44" s="27">
        <v>6.0000000000000001E-3</v>
      </c>
      <c r="D44" s="28">
        <f t="dataTable" ref="D44:H55" dt2D="1" dtr="1" r1="D16" r2="D17"/>
        <v>1286560.7682079207</v>
      </c>
      <c r="E44" s="28">
        <v>3598236.7668429236</v>
      </c>
      <c r="F44" s="28">
        <v>8750150.4733170755</v>
      </c>
      <c r="G44" s="28">
        <v>26688116.943317059</v>
      </c>
      <c r="H44" s="10">
        <v>63461272.109054983</v>
      </c>
    </row>
    <row r="45" spans="2:8" x14ac:dyDescent="0.3">
      <c r="B45" s="36"/>
      <c r="C45" s="27">
        <v>6.4999999999999997E-3</v>
      </c>
      <c r="D45" s="28">
        <v>1294125.4812859197</v>
      </c>
      <c r="E45" s="28">
        <v>3654753.610935932</v>
      </c>
      <c r="F45" s="28">
        <v>9045946.3362362664</v>
      </c>
      <c r="G45" s="28">
        <v>28729681.537821166</v>
      </c>
      <c r="H45" s="10">
        <v>71560958.342334867</v>
      </c>
    </row>
    <row r="46" spans="2:8" x14ac:dyDescent="0.3">
      <c r="B46" s="36"/>
      <c r="C46" s="27">
        <v>7.0000000000000001E-3</v>
      </c>
      <c r="D46" s="28">
        <v>1301746.2536795302</v>
      </c>
      <c r="E46" s="28">
        <v>3712402.0475480845</v>
      </c>
      <c r="F46" s="28">
        <v>9354274.149865659</v>
      </c>
      <c r="G46" s="28">
        <v>30958890.581649598</v>
      </c>
      <c r="H46" s="10">
        <v>80856877.714217454</v>
      </c>
    </row>
    <row r="47" spans="2:8" x14ac:dyDescent="0.3">
      <c r="B47" s="36"/>
      <c r="C47" s="27">
        <v>7.4999999999999997E-3</v>
      </c>
      <c r="D47" s="28">
        <v>1309423.5292841522</v>
      </c>
      <c r="E47" s="28">
        <v>3771206.8462771541</v>
      </c>
      <c r="F47" s="28">
        <v>9675713.8541654535</v>
      </c>
      <c r="G47" s="28">
        <v>33394343.496484295</v>
      </c>
      <c r="H47" s="10">
        <v>91537174.153603703</v>
      </c>
    </row>
    <row r="48" spans="2:8" x14ac:dyDescent="0.3">
      <c r="B48" s="36"/>
      <c r="C48" s="27">
        <v>8.0000000000000002E-3</v>
      </c>
      <c r="D48" s="28">
        <v>1317157.7555559783</v>
      </c>
      <c r="E48" s="28">
        <v>3831193.3415940111</v>
      </c>
      <c r="F48" s="28">
        <v>10010873.470495906</v>
      </c>
      <c r="G48" s="28">
        <v>36056560.96375642</v>
      </c>
      <c r="H48" s="10">
        <v>103820661.56855427</v>
      </c>
    </row>
    <row r="49" spans="2:8" x14ac:dyDescent="0.3">
      <c r="B49" s="36"/>
      <c r="C49" s="27">
        <v>8.5000000000000006E-3</v>
      </c>
      <c r="D49" s="28">
        <v>1324949.3835404622</v>
      </c>
      <c r="E49" s="28">
        <v>3892387.4459758443</v>
      </c>
      <c r="F49" s="28">
        <v>10360390.496982049</v>
      </c>
      <c r="G49" s="28">
        <v>38968188.506456606</v>
      </c>
      <c r="H49" s="10">
        <v>117961939.48421134</v>
      </c>
    </row>
    <row r="50" spans="2:8" x14ac:dyDescent="0.3">
      <c r="B50" s="36"/>
      <c r="C50" s="27">
        <v>8.9999999999999993E-3</v>
      </c>
      <c r="D50" s="28">
        <v>1332798.8679005792</v>
      </c>
      <c r="E50" s="28">
        <v>3954815.6633455753</v>
      </c>
      <c r="F50" s="28">
        <v>10724933.374278981</v>
      </c>
      <c r="G50" s="28">
        <v>42154222.007448107</v>
      </c>
      <c r="H50" s="10">
        <v>134257375.4271273</v>
      </c>
    </row>
    <row r="51" spans="2:8" x14ac:dyDescent="0.3">
      <c r="B51" s="36"/>
      <c r="C51" s="27">
        <v>9.4999999999999998E-3</v>
      </c>
      <c r="D51" s="28">
        <v>1340706.6669455413</v>
      </c>
      <c r="E51" s="28">
        <v>4018505.1028268156</v>
      </c>
      <c r="F51" s="28">
        <v>11105203.025328217</v>
      </c>
      <c r="G51" s="28">
        <v>45642257.555070616</v>
      </c>
      <c r="H51" s="10">
        <v>153052102.55024102</v>
      </c>
    </row>
    <row r="52" spans="2:8" x14ac:dyDescent="0.3">
      <c r="B52" s="36"/>
      <c r="C52" s="27">
        <v>0.01</v>
      </c>
      <c r="D52" s="28">
        <v>1348673.2426595748</v>
      </c>
      <c r="E52" s="28">
        <v>4083483.4928204566</v>
      </c>
      <c r="F52" s="28">
        <v>11501934.472868349</v>
      </c>
      <c r="G52" s="28">
        <v>49462768.269368149</v>
      </c>
      <c r="H52" s="10">
        <v>174748206.63842532</v>
      </c>
    </row>
    <row r="53" spans="2:8" x14ac:dyDescent="0.3">
      <c r="B53" s="36"/>
      <c r="C53" s="27">
        <v>1.0500000000000001E-2</v>
      </c>
      <c r="D53" s="28">
        <v>1356699.0607311702</v>
      </c>
      <c r="E53" s="28">
        <v>4149779.1954118158</v>
      </c>
      <c r="F53" s="28">
        <v>11915898.538664907</v>
      </c>
      <c r="G53" s="28">
        <v>53649411.053918667</v>
      </c>
      <c r="H53" s="10">
        <v>199814306.73588428</v>
      </c>
    </row>
    <row r="54" spans="2:8" x14ac:dyDescent="0.3">
      <c r="B54" s="36"/>
      <c r="C54" s="27">
        <v>1.0999999999999999E-2</v>
      </c>
      <c r="D54" s="28">
        <v>1364784.5905822888</v>
      </c>
      <c r="E54" s="28">
        <v>4217421.2211142723</v>
      </c>
      <c r="F54" s="28">
        <v>12347903.62861564</v>
      </c>
      <c r="G54" s="28">
        <v>58239366.541978709</v>
      </c>
      <c r="H54" s="10">
        <v>228796768.97002888</v>
      </c>
    </row>
    <row r="55" spans="2:8" ht="15" thickBot="1" x14ac:dyDescent="0.35">
      <c r="B55" s="37"/>
      <c r="C55" s="29">
        <v>1.15E-2</v>
      </c>
      <c r="D55" s="30">
        <v>1372930.305398009</v>
      </c>
      <c r="E55" s="30">
        <v>4286439.2439590031</v>
      </c>
      <c r="F55" s="30">
        <v>12798797.608112929</v>
      </c>
      <c r="G55" s="30">
        <v>63273715.865316421</v>
      </c>
      <c r="H55" s="31">
        <v>262332834.62631804</v>
      </c>
    </row>
  </sheetData>
  <mergeCells count="16">
    <mergeCell ref="B14:D14"/>
    <mergeCell ref="B3:I5"/>
    <mergeCell ref="B8:D8"/>
    <mergeCell ref="B9:C9"/>
    <mergeCell ref="B10:C10"/>
    <mergeCell ref="B11:C11"/>
    <mergeCell ref="B15:C15"/>
    <mergeCell ref="B16:C16"/>
    <mergeCell ref="B17:C17"/>
    <mergeCell ref="B18:C18"/>
    <mergeCell ref="B19:C19"/>
    <mergeCell ref="B21:C21"/>
    <mergeCell ref="B31:C31"/>
    <mergeCell ref="B43:B55"/>
    <mergeCell ref="B41:H41"/>
    <mergeCell ref="D42:H42"/>
  </mergeCells>
  <conditionalFormatting sqref="D44:H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9B28A-8089-4683-A43A-45EE0D89E904}">
          <x14:formula1>
            <xm:f>'FII''s'!$C$1:$E$1</xm:f>
          </x14:formula1>
          <xm:sqref>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9E04-9F84-4DCE-B45E-99601A2C150B}">
  <dimension ref="B1:E7"/>
  <sheetViews>
    <sheetView workbookViewId="0">
      <selection activeCell="C3" sqref="C3"/>
    </sheetView>
  </sheetViews>
  <sheetFormatPr defaultRowHeight="14.4" x14ac:dyDescent="0.3"/>
  <sheetData>
    <row r="1" spans="2:5" x14ac:dyDescent="0.3">
      <c r="C1" t="s">
        <v>28</v>
      </c>
      <c r="D1" t="s">
        <v>29</v>
      </c>
      <c r="E1" t="s">
        <v>30</v>
      </c>
    </row>
    <row r="2" spans="2:5" x14ac:dyDescent="0.3">
      <c r="B2" t="s">
        <v>15</v>
      </c>
      <c r="C2" s="1">
        <v>0.5</v>
      </c>
      <c r="D2" s="1">
        <v>0.32</v>
      </c>
      <c r="E2" s="1">
        <v>0.3</v>
      </c>
    </row>
    <row r="3" spans="2:5" x14ac:dyDescent="0.3">
      <c r="B3" t="s">
        <v>16</v>
      </c>
      <c r="C3" s="1">
        <v>0.1</v>
      </c>
      <c r="D3" s="1">
        <v>0.35</v>
      </c>
      <c r="E3" s="1">
        <v>0.5</v>
      </c>
    </row>
    <row r="4" spans="2:5" x14ac:dyDescent="0.3">
      <c r="B4" t="s">
        <v>17</v>
      </c>
      <c r="C4" s="1">
        <v>0.05</v>
      </c>
      <c r="D4" s="1">
        <v>0.08</v>
      </c>
      <c r="E4" s="1">
        <v>0.1</v>
      </c>
    </row>
    <row r="5" spans="2:5" x14ac:dyDescent="0.3">
      <c r="B5" t="s">
        <v>18</v>
      </c>
      <c r="C5" s="1">
        <v>0.05</v>
      </c>
      <c r="D5" s="1">
        <v>0.05</v>
      </c>
      <c r="E5" s="1">
        <v>0.1</v>
      </c>
    </row>
    <row r="6" spans="2:5" x14ac:dyDescent="0.3">
      <c r="B6" t="s">
        <v>19</v>
      </c>
      <c r="C6" s="1">
        <v>0.2</v>
      </c>
      <c r="D6" s="1">
        <v>0.1</v>
      </c>
      <c r="E6" s="1">
        <v>0</v>
      </c>
    </row>
    <row r="7" spans="2:5" x14ac:dyDescent="0.3">
      <c r="B7" t="s">
        <v>20</v>
      </c>
      <c r="C7" s="1">
        <v>0.1</v>
      </c>
      <c r="D7" s="1">
        <v>0.1</v>
      </c>
      <c r="E7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16</vt:i4>
      </vt:variant>
    </vt:vector>
  </HeadingPairs>
  <TitlesOfParts>
    <vt:vector size="18" baseType="lpstr">
      <vt:lpstr>Calculadora Inteligente</vt:lpstr>
      <vt:lpstr>FII's</vt:lpstr>
      <vt:lpstr>Aporte</vt:lpstr>
      <vt:lpstr>cenário10</vt:lpstr>
      <vt:lpstr>cenário2</vt:lpstr>
      <vt:lpstr>cenário20</vt:lpstr>
      <vt:lpstr>cenário30</vt:lpstr>
      <vt:lpstr>cenário5</vt:lpstr>
      <vt:lpstr>perfilderisco</vt:lpstr>
      <vt:lpstr>Periodo</vt:lpstr>
      <vt:lpstr>premissaanos</vt:lpstr>
      <vt:lpstr>premissadesugestão</vt:lpstr>
      <vt:lpstr>Renda_mensal</vt:lpstr>
      <vt:lpstr>Rendimento</vt:lpstr>
      <vt:lpstr>Salário</vt:lpstr>
      <vt:lpstr>sugestãoaporte</vt:lpstr>
      <vt:lpstr>Taxa</vt:lpstr>
      <vt:lpstr>VFdoPL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jorge guilherme ramos</dc:creator>
  <cp:lastModifiedBy>eduardo jorge guilherme ramos</cp:lastModifiedBy>
  <dcterms:created xsi:type="dcterms:W3CDTF">2025-12-18T23:34:33Z</dcterms:created>
  <dcterms:modified xsi:type="dcterms:W3CDTF">2025-12-19T00:54:44Z</dcterms:modified>
</cp:coreProperties>
</file>